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375" windowWidth="18675" windowHeight="12045" tabRatio="351"/>
  </bookViews>
  <sheets>
    <sheet name="LCR" sheetId="4" r:id="rId1"/>
    <sheet name="CFONB160" sheetId="5" r:id="rId2"/>
    <sheet name="Param CEntrée et CDailly" sheetId="3" r:id="rId3"/>
  </sheets>
  <calcPr calcId="125725"/>
</workbook>
</file>

<file path=xl/calcChain.xml><?xml version="1.0" encoding="utf-8"?>
<calcChain xmlns="http://schemas.openxmlformats.org/spreadsheetml/2006/main">
  <c r="C10" i="5"/>
  <c r="H12" i="4" l="1"/>
  <c r="B12"/>
  <c r="A5"/>
  <c r="I8"/>
  <c r="I7"/>
  <c r="H5" l="1"/>
  <c r="C3" i="5" s="1"/>
  <c r="G5" i="4"/>
  <c r="A12"/>
  <c r="C2" i="5" s="1"/>
  <c r="B5" i="4"/>
  <c r="A3" i="5" l="1"/>
  <c r="C1"/>
  <c r="A1" s="1"/>
  <c r="A2"/>
</calcChain>
</file>

<file path=xl/comments1.xml><?xml version="1.0" encoding="utf-8"?>
<comments xmlns="http://schemas.openxmlformats.org/spreadsheetml/2006/main">
  <authors>
    <author>OLIVIER BAUDOIN (X119197)</author>
  </authors>
  <commentList>
    <comment ref="I7" authorId="0">
      <text>
        <r>
          <rPr>
            <b/>
            <sz val="9"/>
            <color indexed="81"/>
            <rFont val="Tahoma"/>
            <family val="2"/>
          </rPr>
          <t>Valeur automatique
Ne pas modifier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Valeur automatique
Ne pas modifier</t>
        </r>
      </text>
    </comment>
  </commentList>
</comments>
</file>

<file path=xl/sharedStrings.xml><?xml version="1.0" encoding="utf-8"?>
<sst xmlns="http://schemas.openxmlformats.org/spreadsheetml/2006/main" count="58" uniqueCount="36">
  <si>
    <t>SIREN</t>
  </si>
  <si>
    <t>Montant</t>
  </si>
  <si>
    <t>Domiciliation Bancaire</t>
  </si>
  <si>
    <t>Code Dailly</t>
  </si>
  <si>
    <t>Escompte</t>
  </si>
  <si>
    <t>Pas d’indication</t>
  </si>
  <si>
    <t>cession escompte dans la cadre d’une convention DAILLY</t>
  </si>
  <si>
    <t>Nantissement de créance dans le cadre d’une convention Dailly</t>
  </si>
  <si>
    <r>
      <rPr>
        <sz val="11"/>
        <color theme="6" tint="-0.249977111117893"/>
        <rFont val="Calibri"/>
        <family val="2"/>
        <scheme val="minor"/>
      </rPr>
      <t>Escompte</t>
    </r>
    <r>
      <rPr>
        <sz val="11"/>
        <color theme="1"/>
        <rFont val="Calibri"/>
        <family val="2"/>
        <scheme val="minor"/>
      </rPr>
      <t xml:space="preserve"> en valeur</t>
    </r>
  </si>
  <si>
    <r>
      <rPr>
        <sz val="11"/>
        <color theme="4"/>
        <rFont val="Calibri"/>
        <family val="2"/>
        <scheme val="minor"/>
      </rPr>
      <t xml:space="preserve">Encaissement </t>
    </r>
    <r>
      <rPr>
        <sz val="11"/>
        <color theme="1"/>
        <rFont val="Calibri"/>
        <family val="2"/>
        <scheme val="minor"/>
      </rPr>
      <t>crédit forfaitaire après échéance</t>
    </r>
  </si>
  <si>
    <r>
      <rPr>
        <sz val="11"/>
        <color theme="4"/>
        <rFont val="Calibri"/>
        <family val="2"/>
        <scheme val="minor"/>
      </rPr>
      <t xml:space="preserve">Encaissement </t>
    </r>
    <r>
      <rPr>
        <sz val="11"/>
        <color theme="1"/>
        <rFont val="Calibri"/>
        <family val="2"/>
        <scheme val="minor"/>
      </rPr>
      <t>Crédit après expiration du délai forfaitaire</t>
    </r>
  </si>
  <si>
    <t>IBAN</t>
  </si>
  <si>
    <t>Nom</t>
  </si>
  <si>
    <t>Motif de remise</t>
  </si>
  <si>
    <t>Date de remise</t>
  </si>
  <si>
    <t>Code Entrée</t>
  </si>
  <si>
    <t>Encaissement Crédit après expiration du délai forfaitaire</t>
  </si>
  <si>
    <t>Cession ou nantissement hors convention Dailly</t>
  </si>
  <si>
    <t>LCR CFONB160</t>
  </si>
  <si>
    <t>Donneur d'ordre - compte tireur</t>
  </si>
  <si>
    <t>Bénéficiaire - compte tiré</t>
  </si>
  <si>
    <t>Code Entrée :</t>
  </si>
  <si>
    <t>Code Dailly :</t>
  </si>
  <si>
    <t>Date d'échéance</t>
  </si>
  <si>
    <t>Ref Ben</t>
  </si>
  <si>
    <t>FR7630003045100002037306331</t>
  </si>
  <si>
    <t>PGN 52107787</t>
  </si>
  <si>
    <t>Date de valeur</t>
  </si>
  <si>
    <t>Date de création</t>
  </si>
  <si>
    <t>Banque DO</t>
  </si>
  <si>
    <t>Banque BEN</t>
  </si>
  <si>
    <t>Somme</t>
  </si>
  <si>
    <t>Acceptation</t>
  </si>
  <si>
    <t>FR7630003045100005022593366</t>
  </si>
  <si>
    <t>PGN 52105500</t>
  </si>
  <si>
    <t>Combinaisons possibles entre code entrée et Code Dailly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</si>
</sst>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6" formatCode="#,##0.00_ ;\-#,##0.00\ "/>
  </numFmts>
  <fonts count="13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theme="6" tint="0.39991454817346722"/>
      </left>
      <right style="thin">
        <color theme="6" tint="0.39991454817346722"/>
      </right>
      <top style="thin">
        <color theme="6" tint="0.39991454817346722"/>
      </top>
      <bottom style="thin">
        <color theme="6" tint="0.39991454817346722"/>
      </bottom>
      <diagonal/>
    </border>
    <border>
      <left style="thin">
        <color theme="6" tint="0.39991454817346722"/>
      </left>
      <right/>
      <top/>
      <bottom/>
      <diagonal/>
    </border>
    <border>
      <left style="thin">
        <color theme="6" tint="0.39991454817346722"/>
      </left>
      <right/>
      <top style="thin">
        <color theme="6" tint="0.39991454817346722"/>
      </top>
      <bottom style="thin">
        <color theme="6" tint="0.39991454817346722"/>
      </bottom>
      <diagonal/>
    </border>
    <border>
      <left/>
      <right style="thin">
        <color theme="6" tint="0.39991454817346722"/>
      </right>
      <top style="thin">
        <color theme="6" tint="0.39991454817346722"/>
      </top>
      <bottom style="thin">
        <color theme="6" tint="0.39991454817346722"/>
      </bottom>
      <diagonal/>
    </border>
    <border>
      <left/>
      <right/>
      <top style="thin">
        <color theme="6" tint="0.39991454817346722"/>
      </top>
      <bottom style="thin">
        <color theme="6" tint="0.399914548173467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1454817346722"/>
      </top>
      <bottom style="thin">
        <color theme="5" tint="0.399914548173467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5" tint="0.39994506668294322"/>
      </left>
      <right/>
      <top/>
      <bottom style="thin">
        <color theme="5" tint="0.39994506668294322"/>
      </bottom>
      <diagonal/>
    </border>
    <border>
      <left/>
      <right/>
      <top/>
      <bottom style="thin">
        <color theme="5" tint="0.39994506668294322"/>
      </bottom>
      <diagonal/>
    </border>
    <border>
      <left style="thin">
        <color theme="9" tint="0.39994506668294322"/>
      </left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 wrapText="1"/>
    </xf>
    <xf numFmtId="0" fontId="6" fillId="3" borderId="3" xfId="0" applyFont="1" applyFill="1" applyBorder="1" applyAlignment="1">
      <alignment horizontal="right" vertical="center" wrapText="1"/>
    </xf>
    <xf numFmtId="0" fontId="6" fillId="3" borderId="4" xfId="0" applyFont="1" applyFill="1" applyBorder="1" applyAlignment="1">
      <alignment horizontal="right" vertical="center" wrapText="1"/>
    </xf>
    <xf numFmtId="14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4" fillId="2" borderId="7" xfId="0" applyFont="1" applyFill="1" applyBorder="1" applyAlignment="1">
      <alignment horizontal="center" vertical="center" wrapText="1"/>
    </xf>
    <xf numFmtId="14" fontId="10" fillId="0" borderId="6" xfId="0" applyNumberFormat="1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/>
    </xf>
    <xf numFmtId="0" fontId="6" fillId="3" borderId="5" xfId="0" applyFont="1" applyFill="1" applyBorder="1" applyAlignment="1">
      <alignment horizontal="right" vertical="center" wrapText="1"/>
    </xf>
    <xf numFmtId="166" fontId="10" fillId="0" borderId="6" xfId="1" applyNumberFormat="1" applyFont="1" applyBorder="1" applyAlignment="1">
      <alignment horizontal="right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166" fontId="10" fillId="0" borderId="1" xfId="0" applyNumberFormat="1" applyFont="1" applyBorder="1" applyAlignment="1">
      <alignment horizontal="right" vertical="center" wrapText="1"/>
    </xf>
    <xf numFmtId="0" fontId="10" fillId="0" borderId="6" xfId="0" applyFont="1" applyBorder="1" applyAlignment="1">
      <alignment horizontal="center" vertical="center" wrapText="1"/>
    </xf>
    <xf numFmtId="14" fontId="10" fillId="0" borderId="3" xfId="0" applyNumberFormat="1" applyFont="1" applyBorder="1" applyAlignment="1">
      <alignment horizontal="left" vertical="center" wrapText="1"/>
    </xf>
    <xf numFmtId="14" fontId="10" fillId="0" borderId="5" xfId="0" applyNumberFormat="1" applyFont="1" applyBorder="1" applyAlignment="1">
      <alignment horizontal="left" vertical="center" wrapText="1"/>
    </xf>
    <xf numFmtId="14" fontId="10" fillId="0" borderId="4" xfId="0" applyNumberFormat="1" applyFont="1" applyBorder="1" applyAlignment="1">
      <alignment horizontal="left" vertical="center" wrapText="1"/>
    </xf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/>
  </sheetPr>
  <dimension ref="A1:I12"/>
  <sheetViews>
    <sheetView showGridLines="0" tabSelected="1" workbookViewId="0">
      <selection activeCell="E32" sqref="E32"/>
    </sheetView>
  </sheetViews>
  <sheetFormatPr baseColWidth="10" defaultRowHeight="15"/>
  <cols>
    <col min="1" max="1" width="15.5703125" style="2" bestFit="1" customWidth="1"/>
    <col min="2" max="2" width="15.5703125" style="2" customWidth="1"/>
    <col min="3" max="3" width="6.140625" style="2" bestFit="1" customWidth="1"/>
    <col min="4" max="4" width="13.85546875" style="2" bestFit="1" customWidth="1"/>
    <col min="5" max="5" width="28.140625" style="2" bestFit="1" customWidth="1"/>
    <col min="6" max="6" width="21" style="2" bestFit="1" customWidth="1"/>
    <col min="7" max="7" width="19.28515625" style="2" customWidth="1"/>
    <col min="8" max="8" width="8.5703125" style="2" bestFit="1" customWidth="1"/>
    <col min="9" max="9" width="11.5703125" style="2" bestFit="1" customWidth="1"/>
    <col min="10" max="16384" width="11.42578125" style="2"/>
  </cols>
  <sheetData>
    <row r="1" spans="1:9" ht="18.75" customHeight="1">
      <c r="A1" s="22" t="s">
        <v>18</v>
      </c>
      <c r="B1" s="23"/>
      <c r="C1" s="23"/>
      <c r="D1" s="23"/>
      <c r="E1" s="23"/>
      <c r="F1" s="23"/>
      <c r="G1" s="23"/>
      <c r="H1" s="23"/>
      <c r="I1" s="23"/>
    </row>
    <row r="2" spans="1:9">
      <c r="A2" s="4"/>
      <c r="B2" s="4"/>
      <c r="C2" s="4"/>
      <c r="D2" s="4"/>
      <c r="E2" s="4"/>
      <c r="F2" s="4"/>
      <c r="G2" s="4"/>
    </row>
    <row r="3" spans="1:9" ht="15" customHeight="1">
      <c r="A3" s="24" t="s">
        <v>19</v>
      </c>
      <c r="B3" s="25"/>
      <c r="C3" s="25"/>
      <c r="D3" s="25"/>
      <c r="E3" s="25"/>
      <c r="F3" s="25"/>
      <c r="G3" s="25"/>
      <c r="H3" s="25"/>
      <c r="I3" s="25"/>
    </row>
    <row r="4" spans="1:9">
      <c r="A4" s="7" t="s">
        <v>14</v>
      </c>
      <c r="B4" s="7" t="s">
        <v>27</v>
      </c>
      <c r="C4" s="7" t="s">
        <v>0</v>
      </c>
      <c r="D4" s="7" t="s">
        <v>12</v>
      </c>
      <c r="E4" s="7" t="s">
        <v>11</v>
      </c>
      <c r="F4" s="7" t="s">
        <v>2</v>
      </c>
      <c r="G4" s="7" t="s">
        <v>13</v>
      </c>
      <c r="H4" s="7" t="s">
        <v>31</v>
      </c>
      <c r="I4" s="7"/>
    </row>
    <row r="5" spans="1:9" ht="28.5" customHeight="1">
      <c r="A5" s="10">
        <f ca="1">TODAY()+1</f>
        <v>42437</v>
      </c>
      <c r="B5" s="10">
        <f ca="1">A5+7</f>
        <v>42444</v>
      </c>
      <c r="C5" s="10"/>
      <c r="D5" s="8" t="s">
        <v>34</v>
      </c>
      <c r="E5" s="8" t="s">
        <v>33</v>
      </c>
      <c r="F5" s="8" t="s">
        <v>29</v>
      </c>
      <c r="G5" s="8" t="str">
        <f>"OBA - " &amp;I7&amp;I8</f>
        <v>OBA - 42</v>
      </c>
      <c r="H5" s="26">
        <f ca="1">SUM(H12:H12)</f>
        <v>67.150000000000006</v>
      </c>
      <c r="I5" s="26"/>
    </row>
    <row r="6" spans="1:9">
      <c r="A6" s="13"/>
      <c r="B6" s="13"/>
      <c r="C6" s="13"/>
      <c r="D6" s="14"/>
      <c r="E6" s="14"/>
      <c r="F6" s="14"/>
      <c r="G6" s="14"/>
    </row>
    <row r="7" spans="1:9">
      <c r="A7" s="11" t="s">
        <v>21</v>
      </c>
      <c r="B7" s="18"/>
      <c r="C7" s="12"/>
      <c r="D7" s="28" t="s">
        <v>16</v>
      </c>
      <c r="E7" s="29"/>
      <c r="F7" s="29"/>
      <c r="G7" s="29"/>
      <c r="H7" s="30"/>
      <c r="I7" s="9">
        <f>VLOOKUP(D7,'Param CEntrée et CDailly'!A3:$B$6,2,FALSE)</f>
        <v>4</v>
      </c>
    </row>
    <row r="8" spans="1:9">
      <c r="A8" s="11" t="s">
        <v>22</v>
      </c>
      <c r="B8" s="18"/>
      <c r="C8" s="12"/>
      <c r="D8" s="28" t="s">
        <v>7</v>
      </c>
      <c r="E8" s="29"/>
      <c r="F8" s="29"/>
      <c r="G8" s="29"/>
      <c r="H8" s="30"/>
      <c r="I8" s="9">
        <f>VLOOKUP(D8,'Param CEntrée et CDailly'!C3:D14,2,FALSE)</f>
        <v>2</v>
      </c>
    </row>
    <row r="9" spans="1:9">
      <c r="A9" s="4"/>
      <c r="B9" s="4"/>
      <c r="C9" s="4"/>
      <c r="D9" s="4"/>
      <c r="E9" s="4"/>
      <c r="F9" s="4"/>
      <c r="G9" s="4"/>
    </row>
    <row r="10" spans="1:9" ht="15" customHeight="1">
      <c r="A10" s="20" t="s">
        <v>20</v>
      </c>
      <c r="B10" s="21"/>
      <c r="C10" s="21"/>
      <c r="D10" s="21"/>
      <c r="E10" s="21"/>
      <c r="F10" s="21"/>
      <c r="G10" s="21"/>
      <c r="H10" s="21"/>
      <c r="I10" s="21"/>
    </row>
    <row r="11" spans="1:9">
      <c r="A11" s="15" t="s">
        <v>23</v>
      </c>
      <c r="B11" s="15" t="s">
        <v>28</v>
      </c>
      <c r="C11" s="15" t="s">
        <v>0</v>
      </c>
      <c r="D11" s="15" t="s">
        <v>12</v>
      </c>
      <c r="E11" s="15" t="s">
        <v>11</v>
      </c>
      <c r="F11" s="15" t="s">
        <v>2</v>
      </c>
      <c r="G11" s="15" t="s">
        <v>13</v>
      </c>
      <c r="H11" s="15" t="s">
        <v>1</v>
      </c>
      <c r="I11" s="15" t="s">
        <v>32</v>
      </c>
    </row>
    <row r="12" spans="1:9" ht="30">
      <c r="A12" s="16">
        <f ca="1">A5+5</f>
        <v>42442</v>
      </c>
      <c r="B12" s="16">
        <f ca="1">TODAY()</f>
        <v>42436</v>
      </c>
      <c r="C12" s="16"/>
      <c r="D12" s="17" t="s">
        <v>26</v>
      </c>
      <c r="E12" s="17" t="s">
        <v>25</v>
      </c>
      <c r="F12" s="17" t="s">
        <v>30</v>
      </c>
      <c r="G12" s="17" t="s">
        <v>24</v>
      </c>
      <c r="H12" s="19">
        <f ca="1">RANDBETWEEN(1000,10000)/100</f>
        <v>67.150000000000006</v>
      </c>
      <c r="I12" s="27">
        <v>0</v>
      </c>
    </row>
  </sheetData>
  <mergeCells count="9">
    <mergeCell ref="A10:I10"/>
    <mergeCell ref="A1:I1"/>
    <mergeCell ref="A3:I3"/>
    <mergeCell ref="D7:H7"/>
    <mergeCell ref="D8:H8"/>
    <mergeCell ref="A9:G9"/>
    <mergeCell ref="A7:C7"/>
    <mergeCell ref="A8:C8"/>
    <mergeCell ref="A2:G2"/>
  </mergeCells>
  <dataValidations count="3">
    <dataValidation type="list" allowBlank="1" showInputMessage="1" showErrorMessage="1" sqref="D7">
      <formula1>"Escompte,Escompte en valeur,Encaissement crédit forfaitaire après échéance,Encaissement Crédit après expiration du délai forfaitaire"</formula1>
    </dataValidation>
    <dataValidation type="list" allowBlank="1" showInputMessage="1" showErrorMessage="1" sqref="D8">
      <formula1>"Pas d’indication,Cession ou nantissement hors convention Dailly,cession escompte dans la cadre d’une convention DAILLY,Nantissement de créance dans le cadre d’une convention Dailly"</formula1>
    </dataValidation>
    <dataValidation type="list" allowBlank="1" showErrorMessage="1" sqref="I12">
      <formula1>"0,1"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theme="6" tint="-0.499984740745262"/>
  </sheetPr>
  <dimension ref="A1:C10"/>
  <sheetViews>
    <sheetView showGridLines="0" workbookViewId="0">
      <selection activeCell="C37" sqref="C37"/>
    </sheetView>
  </sheetViews>
  <sheetFormatPr baseColWidth="10" defaultRowHeight="15"/>
  <cols>
    <col min="1" max="1" width="4" bestFit="1" customWidth="1"/>
    <col min="2" max="2" width="4.42578125" customWidth="1"/>
    <col min="3" max="3" width="15" customWidth="1"/>
  </cols>
  <sheetData>
    <row r="1" spans="1:3">
      <c r="A1">
        <f ca="1">LEN(C1)</f>
        <v>160</v>
      </c>
      <c r="C1" t="str">
        <f ca="1">"0360"&amp;REPT(0,8-LEN(TEXT(CELL("Ligne",A1),"#")))&amp;CELL("Ligne",A1)&amp;"      "&amp;"      "
&amp;TEXT(LCR!A5,"jjmmaa")&amp;LCR!D5&amp;REPT(" ",24-LEN(TEXT(LCR!D5,"#")))&amp;LCR!F5&amp;REPT(" ",24-LEN(TEXT(LCR!F5,"#")))&amp;LCR!I7&amp;LCR!I8&amp;"E"
&amp;MID(LCR!E5,5,5)&amp;MID(LCR!E5,10,5)&amp;MID(LCR!E5,15,11)&amp;"                "&amp;TEXT(LCR!B5,"jjmmaa")&amp;"          "
&amp;LCR!C5&amp;REPT(" ",15-LEN(TEXT(LCR!C5,"#")))&amp;LCR!G5&amp;REPT(" ",11-LEN(TEXT(LCR!G5,"#")))</f>
        <v xml:space="preserve">036000000001            080316PGN 52105500            Banque DO               42E300030451000050225933                150316                         OBA - 42   </v>
      </c>
    </row>
    <row r="2" spans="1:3">
      <c r="A2">
        <f t="shared" ref="A2:A3" ca="1" si="0">LEN(C2)</f>
        <v>160</v>
      </c>
      <c r="C2" t="str">
        <f ca="1">"0660"&amp;REPT(0,8-LEN(TEXT(CELL("Ligne",A2),"#")))&amp;CELL("Ligne",A2)&amp;"      "&amp;"  "&amp;"          "
&amp;LCR!D12&amp;REPT(" ",24-LEN(TEXT(LCR!D12,"#")))&amp;LCR!F12&amp;REPT(" ",24-LEN(TEXT(LCR!F12,"#")))&amp;LCR!I12&amp;"  "
&amp;MID(LCR!E12,5,5)&amp;MID(LCR!E12,10,5)&amp;MID(LCR!E12,15,11)
&amp;REPT(0,12-LEN(TEXT(LCR!H12*100,"#")))&amp;LCR!H12*100&amp;"    "&amp;TEXT(LCR!A12,"jjmmaa")&amp;TEXT(LCR!B12,"jjmmaa")
&amp;"    "&amp;" "&amp;"   "&amp;"   "&amp;LCR!C12&amp;REPT(" ",9-LEN(TEXT(LCR!C12,"#")))&amp;LCR!G12&amp;REPT(" ",10-LEN(TEXT(LCR!G12,"#")))</f>
        <v xml:space="preserve">066000000002                  PGN 52107787            Banque BEN              0  300030451000020373063000000006715    130316070316                    Ref Ben   </v>
      </c>
    </row>
    <row r="3" spans="1:3">
      <c r="A3">
        <f t="shared" ca="1" si="0"/>
        <v>160</v>
      </c>
      <c r="C3" t="str">
        <f ca="1">"0860"&amp;REPT(0,8-LEN(TEXT(CELL("Ligne",A3),"#")))&amp;CELL("Ligne",A3)&amp;REPT(" ",6)&amp;REPT(" ",84)
&amp;REPT(0,12-LEN(TEXT(LCR!$H$5*100,"#")))&amp;LCR!$H$5*100
&amp;REPT(" ",46)</f>
        <v xml:space="preserve">086000000003                                                                                          000000006715                                              </v>
      </c>
    </row>
    <row r="8" spans="1:3">
      <c r="C8" s="1"/>
    </row>
    <row r="9" spans="1:3">
      <c r="C9" s="1"/>
    </row>
    <row r="10" spans="1:3">
      <c r="C10" s="1" t="str">
        <f>A4&amp;B4&amp;C4&amp;D4&amp;E4&amp;O4&amp;P4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8" tint="0.79998168889431442"/>
  </sheetPr>
  <dimension ref="A1:D14"/>
  <sheetViews>
    <sheetView workbookViewId="0">
      <selection activeCell="A36" sqref="A36"/>
    </sheetView>
  </sheetViews>
  <sheetFormatPr baseColWidth="10" defaultRowHeight="15"/>
  <cols>
    <col min="1" max="1" width="60.28515625" style="3" customWidth="1"/>
    <col min="2" max="2" width="2" style="5" bestFit="1" customWidth="1"/>
    <col min="3" max="3" width="58.140625" style="3" bestFit="1" customWidth="1"/>
    <col min="4" max="4" width="2" style="2" bestFit="1" customWidth="1"/>
    <col min="5" max="16384" width="11.42578125" style="2"/>
  </cols>
  <sheetData>
    <row r="1" spans="1:4">
      <c r="A1" s="4" t="s">
        <v>35</v>
      </c>
      <c r="B1" s="4"/>
      <c r="C1" s="4"/>
      <c r="D1" s="4"/>
    </row>
    <row r="2" spans="1:4">
      <c r="A2" s="4" t="s">
        <v>15</v>
      </c>
      <c r="B2" s="4"/>
      <c r="C2" s="4" t="s">
        <v>3</v>
      </c>
      <c r="D2" s="4"/>
    </row>
    <row r="3" spans="1:4">
      <c r="A3" s="6" t="s">
        <v>4</v>
      </c>
      <c r="B3" s="3">
        <v>1</v>
      </c>
      <c r="C3" s="2" t="s">
        <v>5</v>
      </c>
      <c r="D3" s="3">
        <v>0</v>
      </c>
    </row>
    <row r="4" spans="1:4">
      <c r="A4" s="2" t="s">
        <v>8</v>
      </c>
      <c r="B4" s="3">
        <v>2</v>
      </c>
      <c r="C4" s="2" t="s">
        <v>5</v>
      </c>
      <c r="D4" s="3">
        <v>0</v>
      </c>
    </row>
    <row r="5" spans="1:4">
      <c r="A5" s="2" t="s">
        <v>9</v>
      </c>
      <c r="B5" s="3">
        <v>3</v>
      </c>
      <c r="C5" s="2" t="s">
        <v>5</v>
      </c>
      <c r="D5" s="3">
        <v>0</v>
      </c>
    </row>
    <row r="6" spans="1:4">
      <c r="A6" s="2" t="s">
        <v>10</v>
      </c>
      <c r="B6" s="3">
        <v>4</v>
      </c>
      <c r="C6" s="2" t="s">
        <v>5</v>
      </c>
      <c r="D6" s="3">
        <v>0</v>
      </c>
    </row>
    <row r="7" spans="1:4">
      <c r="A7" s="6" t="s">
        <v>4</v>
      </c>
      <c r="B7" s="3">
        <v>1</v>
      </c>
      <c r="C7" s="2" t="s">
        <v>17</v>
      </c>
      <c r="D7" s="3">
        <v>3</v>
      </c>
    </row>
    <row r="8" spans="1:4">
      <c r="A8" s="2" t="s">
        <v>8</v>
      </c>
      <c r="B8" s="3">
        <v>2</v>
      </c>
      <c r="C8" s="2" t="s">
        <v>17</v>
      </c>
      <c r="D8" s="3">
        <v>3</v>
      </c>
    </row>
    <row r="9" spans="1:4">
      <c r="A9" s="2" t="s">
        <v>9</v>
      </c>
      <c r="B9" s="3">
        <v>3</v>
      </c>
      <c r="C9" s="2" t="s">
        <v>17</v>
      </c>
      <c r="D9" s="3">
        <v>3</v>
      </c>
    </row>
    <row r="10" spans="1:4">
      <c r="A10" s="2" t="s">
        <v>10</v>
      </c>
      <c r="B10" s="3">
        <v>4</v>
      </c>
      <c r="C10" s="2" t="s">
        <v>17</v>
      </c>
      <c r="D10" s="3">
        <v>3</v>
      </c>
    </row>
    <row r="11" spans="1:4">
      <c r="A11" s="6" t="s">
        <v>4</v>
      </c>
      <c r="B11" s="3">
        <v>1</v>
      </c>
      <c r="C11" s="2" t="s">
        <v>6</v>
      </c>
      <c r="D11" s="3">
        <v>1</v>
      </c>
    </row>
    <row r="12" spans="1:4">
      <c r="A12" s="2" t="s">
        <v>8</v>
      </c>
      <c r="B12" s="3">
        <v>2</v>
      </c>
      <c r="C12" s="2" t="s">
        <v>6</v>
      </c>
      <c r="D12" s="3">
        <v>1</v>
      </c>
    </row>
    <row r="13" spans="1:4">
      <c r="A13" s="2" t="s">
        <v>9</v>
      </c>
      <c r="B13" s="3">
        <v>3</v>
      </c>
      <c r="C13" s="2" t="s">
        <v>7</v>
      </c>
      <c r="D13" s="3">
        <v>2</v>
      </c>
    </row>
    <row r="14" spans="1:4">
      <c r="A14" s="2" t="s">
        <v>10</v>
      </c>
      <c r="B14" s="3">
        <v>4</v>
      </c>
      <c r="C14" s="2" t="s">
        <v>7</v>
      </c>
      <c r="D14" s="3">
        <v>2</v>
      </c>
    </row>
  </sheetData>
  <mergeCells count="3">
    <mergeCell ref="A2:B2"/>
    <mergeCell ref="C2:D2"/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LCR</vt:lpstr>
      <vt:lpstr>CFONB160</vt:lpstr>
      <vt:lpstr>Param CEntrée et CDailly</vt:lpstr>
    </vt:vector>
  </TitlesOfParts>
  <Company>SOCIETE GENERALE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BAUDOIN (x119197)</dc:creator>
  <cp:lastModifiedBy>OLIVIER BAUDOIN (X119197)</cp:lastModifiedBy>
  <dcterms:created xsi:type="dcterms:W3CDTF">2015-02-04T10:38:37Z</dcterms:created>
  <dcterms:modified xsi:type="dcterms:W3CDTF">2016-03-07T16:23:55Z</dcterms:modified>
</cp:coreProperties>
</file>