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480" yWindow="300" windowWidth="18495" windowHeight="11700" tabRatio="274"/>
  </bookViews>
  <sheets>
    <sheet name="VI CFONB320" sheetId="1" r:id="rId1"/>
    <sheet name="CFONB320" sheetId="4" r:id="rId2"/>
  </sheets>
  <functionGroups/>
  <calcPr calcId="125725"/>
</workbook>
</file>

<file path=xl/calcChain.xml><?xml version="1.0" encoding="utf-8"?>
<calcChain xmlns="http://schemas.openxmlformats.org/spreadsheetml/2006/main">
  <c r="I12" i="1"/>
  <c r="A12"/>
  <c r="C5" i="4"/>
  <c r="A6" i="1" l="1"/>
  <c r="C4" i="4"/>
  <c r="C3"/>
  <c r="A5" l="1"/>
  <c r="A4"/>
  <c r="A3"/>
  <c r="H5" i="1"/>
  <c r="C2" i="4"/>
  <c r="C1"/>
  <c r="A2" l="1"/>
  <c r="A1"/>
</calcChain>
</file>

<file path=xl/sharedStrings.xml><?xml version="1.0" encoding="utf-8"?>
<sst xmlns="http://schemas.openxmlformats.org/spreadsheetml/2006/main" count="40" uniqueCount="36">
  <si>
    <t>Donneur d'ordre</t>
  </si>
  <si>
    <t>IBAN</t>
  </si>
  <si>
    <t>BIC</t>
  </si>
  <si>
    <t>DATE</t>
  </si>
  <si>
    <t>Bénéficiaires</t>
  </si>
  <si>
    <t>Libellé de remise</t>
  </si>
  <si>
    <t>Titulaire</t>
  </si>
  <si>
    <t>SOGEFRPP</t>
  </si>
  <si>
    <t>Montant</t>
  </si>
  <si>
    <t>titulaire</t>
  </si>
  <si>
    <t>Devise</t>
  </si>
  <si>
    <t>EUR</t>
  </si>
  <si>
    <t>USD</t>
  </si>
  <si>
    <t>Virement International au format CFONB320</t>
  </si>
  <si>
    <t>Adresse :</t>
  </si>
  <si>
    <t>38536571300457</t>
  </si>
  <si>
    <t>75013 Paris</t>
  </si>
  <si>
    <t>5 rue Albert</t>
  </si>
  <si>
    <t>Les Allobroges</t>
  </si>
  <si>
    <t>Réf Ctr de Change :</t>
  </si>
  <si>
    <t>Ref Ctr Chge</t>
  </si>
  <si>
    <t>SIREN</t>
  </si>
  <si>
    <t>SIRET</t>
  </si>
  <si>
    <t>US</t>
  </si>
  <si>
    <t>code pays</t>
  </si>
  <si>
    <t>Frais</t>
  </si>
  <si>
    <t>Montant total</t>
  </si>
  <si>
    <t>XXX</t>
  </si>
  <si>
    <t>BEN GBP</t>
  </si>
  <si>
    <t>GB45RBOS16712512345670</t>
  </si>
  <si>
    <t>RBOSGB2L</t>
  </si>
  <si>
    <t>SHAR</t>
  </si>
  <si>
    <t>FR7630003025000003097022875</t>
  </si>
  <si>
    <t>LibRemDo</t>
  </si>
  <si>
    <t>LibRemBen</t>
  </si>
  <si>
    <t>Nom DO</t>
  </si>
</sst>
</file>

<file path=xl/styles.xml><?xml version="1.0" encoding="utf-8"?>
<styleSheet xmlns="http://schemas.openxmlformats.org/spreadsheetml/2006/main">
  <numFmts count="1">
    <numFmt numFmtId="43" formatCode="_-* #,##0.00\ _€_-;\-* #,##0.00\ _€_-;_-* &quot;-&quot;??\ _€_-;_-@_-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3" fillId="0" borderId="0" xfId="0" applyFont="1"/>
    <xf numFmtId="1" fontId="3" fillId="0" borderId="0" xfId="1" applyNumberFormat="1" applyFont="1"/>
    <xf numFmtId="1" fontId="3" fillId="0" borderId="0" xfId="0" applyNumberFormat="1" applyFont="1"/>
    <xf numFmtId="14" fontId="3" fillId="0" borderId="0" xfId="0" applyNumberFormat="1" applyFont="1"/>
    <xf numFmtId="0" fontId="3" fillId="0" borderId="0" xfId="0" applyFont="1" applyAlignment="1">
      <alignment horizontal="right" vertical="center"/>
    </xf>
    <xf numFmtId="49" fontId="3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43" fontId="3" fillId="0" borderId="0" xfId="1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43" fontId="3" fillId="0" borderId="0" xfId="0" applyNumberFormat="1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J12"/>
  <sheetViews>
    <sheetView tabSelected="1" workbookViewId="0">
      <selection activeCell="F39" sqref="F39"/>
    </sheetView>
  </sheetViews>
  <sheetFormatPr baseColWidth="10" defaultRowHeight="12"/>
  <cols>
    <col min="1" max="1" width="14.7109375" style="1" customWidth="1"/>
    <col min="2" max="2" width="15.42578125" style="1" bestFit="1" customWidth="1"/>
    <col min="3" max="3" width="13.42578125" style="1" bestFit="1" customWidth="1"/>
    <col min="4" max="4" width="13" style="1" bestFit="1" customWidth="1"/>
    <col min="5" max="5" width="12.42578125" style="1" bestFit="1" customWidth="1"/>
    <col min="6" max="6" width="24.5703125" style="1" bestFit="1" customWidth="1"/>
    <col min="7" max="7" width="9.5703125" style="1" bestFit="1" customWidth="1"/>
    <col min="8" max="8" width="9.28515625" style="1" bestFit="1" customWidth="1"/>
    <col min="9" max="9" width="2.7109375" style="1" hidden="1" customWidth="1"/>
    <col min="10" max="10" width="14.7109375" style="1" bestFit="1" customWidth="1"/>
    <col min="11" max="16384" width="11.42578125" style="1"/>
  </cols>
  <sheetData>
    <row r="1" spans="1:10" ht="18.75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</row>
    <row r="2" spans="1:10">
      <c r="A2" s="17"/>
      <c r="B2" s="17"/>
      <c r="C2" s="17"/>
      <c r="D2" s="17"/>
      <c r="E2" s="17"/>
      <c r="F2" s="17"/>
      <c r="G2" s="17"/>
      <c r="H2" s="17"/>
      <c r="I2" s="17"/>
      <c r="J2" s="17"/>
    </row>
    <row r="3" spans="1:10" s="9" customFormat="1" ht="15">
      <c r="A3" s="15" t="s">
        <v>0</v>
      </c>
      <c r="B3" s="15"/>
      <c r="C3" s="15"/>
      <c r="D3" s="15"/>
      <c r="E3" s="15"/>
      <c r="F3" s="15"/>
      <c r="G3" s="15"/>
      <c r="H3" s="15"/>
      <c r="I3" s="15"/>
      <c r="J3" s="15"/>
    </row>
    <row r="4" spans="1:10">
      <c r="A4" s="13" t="s">
        <v>26</v>
      </c>
      <c r="B4" s="13" t="s">
        <v>10</v>
      </c>
      <c r="C4" s="13"/>
      <c r="D4" s="13" t="s">
        <v>22</v>
      </c>
      <c r="E4" s="13" t="s">
        <v>6</v>
      </c>
      <c r="F4" s="13" t="s">
        <v>1</v>
      </c>
      <c r="G4" s="13" t="s">
        <v>2</v>
      </c>
      <c r="H4" s="13" t="s">
        <v>3</v>
      </c>
      <c r="I4" s="13"/>
      <c r="J4" s="13" t="s">
        <v>5</v>
      </c>
    </row>
    <row r="5" spans="1:10">
      <c r="B5" s="1" t="s">
        <v>11</v>
      </c>
      <c r="D5" s="8" t="s">
        <v>15</v>
      </c>
      <c r="E5" s="1" t="s">
        <v>35</v>
      </c>
      <c r="F5" s="1" t="s">
        <v>32</v>
      </c>
      <c r="G5" s="1" t="s">
        <v>7</v>
      </c>
      <c r="H5" s="2">
        <f ca="1">TODAY()+3</f>
        <v>42446</v>
      </c>
      <c r="J5" s="1" t="s">
        <v>33</v>
      </c>
    </row>
    <row r="6" spans="1:10">
      <c r="A6" s="12">
        <f ca="1">SUM(A12:A41)</f>
        <v>18.37</v>
      </c>
      <c r="B6" s="1" t="s">
        <v>27</v>
      </c>
      <c r="C6" s="17"/>
      <c r="D6" s="17"/>
      <c r="E6" s="17"/>
      <c r="F6" s="17"/>
      <c r="G6" s="17"/>
      <c r="H6" s="17"/>
      <c r="I6" s="17"/>
      <c r="J6" s="17"/>
    </row>
    <row r="7" spans="1:10">
      <c r="A7" s="17"/>
      <c r="B7" s="7" t="s">
        <v>14</v>
      </c>
      <c r="C7" s="1" t="s">
        <v>18</v>
      </c>
      <c r="D7" s="1" t="s">
        <v>17</v>
      </c>
      <c r="E7" s="1" t="s">
        <v>16</v>
      </c>
      <c r="F7" s="17"/>
      <c r="G7" s="17"/>
      <c r="H7" s="17"/>
      <c r="I7" s="17"/>
      <c r="J7" s="17"/>
    </row>
    <row r="8" spans="1:10">
      <c r="A8" s="17"/>
      <c r="B8" s="7" t="s">
        <v>19</v>
      </c>
      <c r="C8" s="1" t="s">
        <v>20</v>
      </c>
      <c r="D8" s="17"/>
      <c r="E8" s="17"/>
      <c r="F8" s="17"/>
      <c r="G8" s="17"/>
      <c r="H8" s="17"/>
      <c r="I8" s="17"/>
      <c r="J8" s="17"/>
    </row>
    <row r="9" spans="1:10">
      <c r="A9" s="17"/>
      <c r="B9" s="17"/>
      <c r="C9" s="17"/>
      <c r="D9" s="17"/>
      <c r="E9" s="17"/>
      <c r="F9" s="17"/>
      <c r="G9" s="17"/>
      <c r="H9" s="17"/>
      <c r="I9" s="17"/>
      <c r="J9" s="17"/>
    </row>
    <row r="10" spans="1:10" ht="15">
      <c r="A10" s="15" t="s">
        <v>4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>
      <c r="A11" s="13" t="s">
        <v>8</v>
      </c>
      <c r="B11" s="13" t="s">
        <v>10</v>
      </c>
      <c r="C11" s="13" t="s">
        <v>24</v>
      </c>
      <c r="D11" s="13" t="s">
        <v>21</v>
      </c>
      <c r="E11" s="13" t="s">
        <v>9</v>
      </c>
      <c r="F11" s="13" t="s">
        <v>1</v>
      </c>
      <c r="G11" s="13" t="s">
        <v>2</v>
      </c>
      <c r="H11" s="14" t="s">
        <v>25</v>
      </c>
      <c r="I11" s="14"/>
      <c r="J11" s="13" t="s">
        <v>5</v>
      </c>
    </row>
    <row r="12" spans="1:10">
      <c r="A12" s="10">
        <f ca="1">RANDBETWEEN(1,10000)/100</f>
        <v>18.37</v>
      </c>
      <c r="B12" s="1" t="s">
        <v>12</v>
      </c>
      <c r="C12" s="1" t="s">
        <v>23</v>
      </c>
      <c r="D12" s="11">
        <v>385365713</v>
      </c>
      <c r="E12" s="1" t="s">
        <v>28</v>
      </c>
      <c r="F12" s="1" t="s">
        <v>29</v>
      </c>
      <c r="G12" s="1" t="s">
        <v>30</v>
      </c>
      <c r="H12" s="1" t="s">
        <v>31</v>
      </c>
      <c r="I12" s="1" t="str">
        <f>IF(H12="BEN","13",IF(H12="SHAR","14",IF(H12="DO","15")))</f>
        <v>14</v>
      </c>
      <c r="J12" s="1" t="s">
        <v>34</v>
      </c>
    </row>
  </sheetData>
  <mergeCells count="10">
    <mergeCell ref="H11:I11"/>
    <mergeCell ref="A10:J10"/>
    <mergeCell ref="A3:J3"/>
    <mergeCell ref="A1:J1"/>
    <mergeCell ref="A2:J2"/>
    <mergeCell ref="A9:J9"/>
    <mergeCell ref="F6:J8"/>
    <mergeCell ref="A7:A8"/>
    <mergeCell ref="D8:E8"/>
    <mergeCell ref="C6:E6"/>
  </mergeCells>
  <dataValidations count="2">
    <dataValidation type="list" allowBlank="1" showInputMessage="1" showErrorMessage="1" sqref="H12">
      <formula1>"BEN,SHAR,DO"</formula1>
    </dataValidation>
    <dataValidation operator="equal" showInputMessage="1" showErrorMessage="1" errorTitle="35 caractères obligatoires" error="35 caractères obligatoires" sqref="E5:E6"/>
  </dataValidations>
  <pageMargins left="0.7" right="0.7" top="0.75" bottom="0.75" header="0.3" footer="0.3"/>
  <pageSetup paperSize="9" orientation="portrait" r:id="rId1"/>
  <ignoredErrors>
    <ignoredError sqref="D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D5"/>
  <sheetViews>
    <sheetView workbookViewId="0">
      <selection activeCell="C6" sqref="C6"/>
    </sheetView>
  </sheetViews>
  <sheetFormatPr baseColWidth="10" defaultRowHeight="12"/>
  <cols>
    <col min="1" max="1" width="7.140625" style="5" customWidth="1"/>
    <col min="2" max="2" width="3" style="3" customWidth="1"/>
    <col min="3" max="3" width="9.7109375" style="3" customWidth="1"/>
    <col min="4" max="16384" width="11.42578125" style="3"/>
  </cols>
  <sheetData>
    <row r="1" spans="1:4">
      <c r="A1" s="4">
        <f ca="1">LEN(C1)</f>
        <v>320</v>
      </c>
      <c r="C1" s="3" t="str">
        <f ca="1">"03PI"&amp;REPT(0,6-LEN(TEXT(CELL("Ligne",A1),"#")))&amp;CELL("Ligne",A1)&amp;TEXT(TODAY(),"aaaammjj")&amp;CplStr('VI CFONB320'!E5,35)
&amp;CplStr('VI CFONB320'!C7,35)&amp;CplStr('VI CFONB320'!D7,35)&amp;CplStr('VI CFONB320'!E7,35)
&amp;CplStr('VI CFONB320'!D5,14)&amp;CplStr('VI CFONB320'!J5,16)&amp;CplStr('VI CFONB320'!G5,11)&amp;"1"
&amp;CplStr('VI CFONB320'!F5,34)&amp;CplStr('VI CFONB320'!B5,3)
&amp;CplStr('VI CFONB320'!C8,16)&amp;"1"&amp;CplStr('VI CFONB320'!F5,34)&amp;CplStr('VI CFONB320'!B5,3)&amp;"    "&amp;"1"&amp;"203"
&amp;"        "&amp;"1"&amp;"2"&amp;"        "&amp;"   "</f>
        <v xml:space="preserve">03PI00000120160314Nom DO                             Les Allobroges                     5 rue Albert                       75013 Paris                        38536571300457LibRemDo        SOGEFRPP   1FR7630003025000003097022875       EURRef Ctr Chge    1FR7630003025000003097022875       EUR    1203        12           </v>
      </c>
    </row>
    <row r="2" spans="1:4">
      <c r="A2" s="4">
        <f ca="1">LEN(C2)</f>
        <v>320</v>
      </c>
      <c r="C2" s="3" t="str">
        <f ca="1">"04PI"&amp;REPT(0,6-LEN(TEXT(CELL("Ligne",A2),"#")))&amp;CELL("Ligne",A2)
&amp;"1"&amp;CplStr('VI CFONB320'!F12,34)&amp;CplStr('VI CFONB320'!E12,35)&amp;CplStr("",3*35)&amp;CplStr('VI CFONB320'!D12,9)
&amp;"        "&amp;CplStr('VI CFONB320'!C12,2)&amp;CplStr('VI CFONB320'!J12,16)&amp;"T"&amp;"    "
&amp;REPT(0,14-LEN('VI CFONB320'!A12*100))&amp;'VI CFONB320'!A12*100&amp;"2"&amp;" "&amp;"NNN"
&amp;CplStr('VI CFONB320'!C12,2)&amp;"0"&amp;CplStr('VI CFONB320'!I12,2)&amp;"1"&amp;CplStr('VI CFONB320'!F12,34)&amp;CplStr('VI CFONB320'!B12,3)
&amp;"                   "&amp;"203"&amp;"        "&amp;CplStr('VI CFONB320'!B12,3)</f>
        <v>04PI0000021GB45RBOS16712512345670            BEN GBP                                                                                                                                     385365713        USLibRemBen       T    000000000018372 NNNUS0141GB45RBOS16712512345670            USD                   203        USD</v>
      </c>
    </row>
    <row r="3" spans="1:4">
      <c r="A3" s="4">
        <f ca="1">LEN(C3)</f>
        <v>320</v>
      </c>
      <c r="C3" s="3" t="str">
        <f ca="1">"05PI"&amp;REPT(0,6-LEN(TEXT(CELL("Ligne",A3),"#")))&amp;CELL("Ligne",A3)
&amp;"Nom de la Banque du beneficiaire   "&amp;"Localisation de l'agence                                                                                 "
&amp;CplStr('VI CFONB320'!G12,11)&amp;CplStr('VI CFONB320'!C12,2)
&amp;"                                                                                                                                                             "</f>
        <v xml:space="preserve">05PI000003Nom de la Banque du beneficiaire   Localisation de l'agence                                                                                 RBOSGB2L   US                                                                                                                                                             </v>
      </c>
      <c r="D3" s="6"/>
    </row>
    <row r="4" spans="1:4">
      <c r="A4" s="4">
        <f ca="1">LEN(C4)</f>
        <v>320</v>
      </c>
      <c r="C4" s="3" t="str">
        <f ca="1">"07PI"&amp;REPT(0,6-LEN(TEXT(CELL("Ligne",A4),"#")))&amp;CELL("Ligne",A4)
&amp;"/INV/20150101 ref-facture detail-facture/IPI/ref-IPI/RFB/ref-BEN/ROC/Ref DO                                                                 "&amp;"O"
&amp;CplStr('VI CFONB320'!C8,16)&amp;"20151101"&amp;"111111111111"&amp;"BONL"
&amp;"                                                                                                                                 "</f>
        <v xml:space="preserve">07PI000004/INV/20150101 ref-facture detail-facture/IPI/ref-IPI/RFB/ref-BEN/ROC/Ref DO                                                                 ORef Ctr Chge    20151101111111111111BONL                                                                                                                                 </v>
      </c>
    </row>
    <row r="5" spans="1:4">
      <c r="A5" s="4">
        <f ca="1">LEN(C5)</f>
        <v>320</v>
      </c>
      <c r="C5" s="3" t="str">
        <f ca="1">"08PI"&amp;REPT(0,6-LEN(TEXT(CELL("Ligne",A5),"#")))&amp;CELL("Ligne",A5)&amp;TEXT(TODAY(),"aaaammjj")
&amp;"                                                                                                                                            "
&amp;CplStr('VI CFONB320'!$D$5,14)&amp;CplStr('VI CFONB320'!$J$5,16)&amp;"           "&amp;"1"&amp;CplStr('VI CFONB320'!$F$5,34)&amp;CplStr('VI CFONB320'!$B$5,3)
&amp;"ref Ctr Cli     "&amp;REPT(0,18-LEN('VI CFONB320'!A12*100))&amp;'VI CFONB320'!A12*100
&amp;"                                                 "</f>
        <v xml:space="preserve">08PI00000520160314                                                                                                                                            38536571300457LibRemDo                   1FR7630003025000003097022875       EURref Ctr Cli     000000000000001837                                                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VI CFONB320</vt:lpstr>
      <vt:lpstr>CFONB320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2016-03-14T16:34:56Z</dcterms:modified>
</cp:coreProperties>
</file>